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8696ff03d4fd13/Dokumen/Semester 3/SEMESTER 3/Numerik - Bu Sarah Bibi/Tugas Kelompok/Excel/"/>
    </mc:Choice>
  </mc:AlternateContent>
  <xr:revisionPtr revIDLastSave="0" documentId="8_{D3A9EE0A-BB95-4A46-BD8F-76A2706AAF7F}" xr6:coauthVersionLast="47" xr6:coauthVersionMax="47" xr10:uidLastSave="{00000000-0000-0000-0000-000000000000}"/>
  <bookViews>
    <workbookView xWindow="-108" yWindow="-108" windowWidth="23256" windowHeight="13896" xr2:uid="{E6AABDC5-0BE9-47B4-8DEE-585CB316DF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C25" i="1" s="1"/>
  <c r="E24" i="1"/>
  <c r="F24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C15" i="1" s="1"/>
  <c r="E14" i="1"/>
  <c r="F14" i="1"/>
  <c r="F10" i="1"/>
  <c r="E10" i="1"/>
  <c r="D10" i="1"/>
  <c r="E9" i="1"/>
  <c r="D9" i="1"/>
  <c r="C9" i="1"/>
  <c r="C10" i="1"/>
  <c r="D25" i="1" l="1"/>
  <c r="E25" i="1"/>
  <c r="F25" i="1"/>
  <c r="D15" i="1"/>
  <c r="E15" i="1"/>
  <c r="F15" i="1"/>
  <c r="C26" i="1" l="1"/>
  <c r="C16" i="1"/>
  <c r="F9" i="1"/>
  <c r="D26" i="1" l="1"/>
  <c r="E26" i="1"/>
  <c r="F26" i="1"/>
  <c r="D16" i="1"/>
  <c r="E16" i="1"/>
  <c r="F16" i="1"/>
  <c r="C27" i="1" l="1"/>
  <c r="C17" i="1"/>
  <c r="D27" i="1" l="1"/>
  <c r="E27" i="1"/>
  <c r="F27" i="1"/>
  <c r="D17" i="1"/>
  <c r="E17" i="1"/>
  <c r="F17" i="1"/>
  <c r="C28" i="1" l="1"/>
  <c r="C18" i="1"/>
  <c r="D28" i="1" l="1"/>
  <c r="E28" i="1"/>
  <c r="F28" i="1"/>
  <c r="D18" i="1"/>
  <c r="E18" i="1"/>
  <c r="F18" i="1"/>
  <c r="C19" i="1" l="1"/>
  <c r="D19" i="1" l="1"/>
  <c r="E19" i="1"/>
  <c r="F19" i="1"/>
  <c r="C20" i="1" l="1"/>
  <c r="D20" i="1" l="1"/>
  <c r="E20" i="1"/>
  <c r="F20" i="1"/>
</calcChain>
</file>

<file path=xl/sharedStrings.xml><?xml version="1.0" encoding="utf-8"?>
<sst xmlns="http://schemas.openxmlformats.org/spreadsheetml/2006/main" count="18" uniqueCount="18">
  <si>
    <t>sistem persamaan linear metode Gauss seidel</t>
  </si>
  <si>
    <t>x=</t>
  </si>
  <si>
    <t>y=</t>
  </si>
  <si>
    <t xml:space="preserve">y0 = </t>
  </si>
  <si>
    <t>z=</t>
  </si>
  <si>
    <t>literasi</t>
  </si>
  <si>
    <t>x</t>
  </si>
  <si>
    <t>y</t>
  </si>
  <si>
    <t>z</t>
  </si>
  <si>
    <t>e</t>
  </si>
  <si>
    <t>3x+y-z=1</t>
  </si>
  <si>
    <t>(1 - y + z) / 3</t>
  </si>
  <si>
    <t>x0 =</t>
  </si>
  <si>
    <t>2x+4y+z =5</t>
  </si>
  <si>
    <t>(5 - 2x - z) / 4</t>
  </si>
  <si>
    <t>(-x+5y+8z)=5</t>
  </si>
  <si>
    <t>(5 + x - 5y) / 8</t>
  </si>
  <si>
    <t xml:space="preserve">z0=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</si>
</sst>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7862-A249-49DC-8843-202CBEF9E054}">
  <dimension ref="A1:U28"/>
  <sheetViews>
    <sheetView tabSelected="1" workbookViewId="0">
      <selection activeCell="S6" sqref="S6"/>
    </sheetView>
  </sheetViews>
  <sheetFormatPr defaultRowHeight="14.4" x14ac:dyDescent="0.3"/>
  <cols>
    <col min="3" max="3" width="9.6640625" customWidth="1"/>
    <col min="4" max="4" width="10.33203125" customWidth="1"/>
    <col min="5" max="5" width="9.21875" bestFit="1" customWidth="1"/>
  </cols>
  <sheetData>
    <row r="1" spans="1:21" x14ac:dyDescent="0.3">
      <c r="A1" s="1" t="s">
        <v>0</v>
      </c>
      <c r="B1" s="2"/>
      <c r="C1" s="2"/>
      <c r="D1" s="2"/>
      <c r="E1" s="2"/>
      <c r="F1" s="2"/>
    </row>
    <row r="2" spans="1:21" x14ac:dyDescent="0.3">
      <c r="A2" s="2"/>
      <c r="B2" s="2"/>
      <c r="C2" s="2"/>
      <c r="D2" s="2"/>
      <c r="E2" s="2"/>
      <c r="F2" s="2"/>
    </row>
    <row r="3" spans="1:21" x14ac:dyDescent="0.3">
      <c r="A3" s="3" t="s">
        <v>10</v>
      </c>
      <c r="B3" s="3"/>
      <c r="C3" s="3"/>
      <c r="D3" s="3"/>
      <c r="E3" s="3"/>
      <c r="F3" t="s">
        <v>1</v>
      </c>
      <c r="G3" s="3" t="s">
        <v>11</v>
      </c>
      <c r="H3" s="3"/>
      <c r="I3" s="3"/>
      <c r="K3" t="s">
        <v>12</v>
      </c>
      <c r="L3">
        <v>0</v>
      </c>
    </row>
    <row r="4" spans="1:21" x14ac:dyDescent="0.3">
      <c r="A4" s="4" t="s">
        <v>13</v>
      </c>
      <c r="B4" s="4"/>
      <c r="C4" s="4"/>
      <c r="D4" s="4"/>
      <c r="E4" s="4"/>
      <c r="F4" t="s">
        <v>2</v>
      </c>
      <c r="G4" s="3" t="s">
        <v>14</v>
      </c>
      <c r="H4" s="3"/>
      <c r="I4" s="3"/>
      <c r="K4" t="s">
        <v>3</v>
      </c>
      <c r="L4">
        <v>0</v>
      </c>
    </row>
    <row r="5" spans="1:21" x14ac:dyDescent="0.3">
      <c r="A5" s="4" t="s">
        <v>15</v>
      </c>
      <c r="B5" s="4"/>
      <c r="C5" s="4"/>
      <c r="D5" s="4"/>
      <c r="E5" s="4"/>
      <c r="F5" t="s">
        <v>4</v>
      </c>
      <c r="G5" s="3" t="s">
        <v>16</v>
      </c>
      <c r="H5" s="3"/>
      <c r="I5" s="3"/>
      <c r="K5" t="s">
        <v>17</v>
      </c>
      <c r="L5">
        <v>0</v>
      </c>
    </row>
    <row r="8" spans="1:21" x14ac:dyDescent="0.3">
      <c r="B8" t="s">
        <v>5</v>
      </c>
      <c r="C8" s="5" t="s">
        <v>6</v>
      </c>
      <c r="D8" s="5" t="s">
        <v>7</v>
      </c>
      <c r="E8" s="5" t="s">
        <v>8</v>
      </c>
      <c r="F8" s="5" t="s">
        <v>9</v>
      </c>
    </row>
    <row r="9" spans="1:21" x14ac:dyDescent="0.3">
      <c r="B9" s="6">
        <v>1</v>
      </c>
      <c r="C9" s="7">
        <f>(1-L4+L5)/3</f>
        <v>0.33333333333333331</v>
      </c>
      <c r="D9" s="7">
        <f>(5-(2*C9)-L5)/4</f>
        <v>1.0833333333333333</v>
      </c>
      <c r="E9" s="7">
        <f>(5+C9-(5*D9))/8</f>
        <v>-1.041666666666663E-2</v>
      </c>
      <c r="F9" s="6">
        <f>MAX(ABS(C9-$L$3), ABS(D9-$L$4), ABS(E9-$L$5))</f>
        <v>1.0833333333333333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x14ac:dyDescent="0.3">
      <c r="B10">
        <v>2</v>
      </c>
      <c r="C10" s="5">
        <f>(1-D9+E9)/3</f>
        <v>-3.1249999999999962E-2</v>
      </c>
      <c r="D10" s="5">
        <f>(5-(2*C10)-E9)/4</f>
        <v>1.2682291666666667</v>
      </c>
      <c r="E10" s="5">
        <f>(5+C10-(5*D10))/8</f>
        <v>-0.17154947916666674</v>
      </c>
      <c r="F10">
        <f>MAX(ABS(C10-C9),ABS(D10-D9),ABS(E10-E9))</f>
        <v>0.36458333333333326</v>
      </c>
      <c r="H10" s="8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x14ac:dyDescent="0.3">
      <c r="B11">
        <v>3</v>
      </c>
      <c r="C11" s="5">
        <f t="shared" ref="C11:C20" si="0">(1-D10+E10)/3</f>
        <v>-0.1465928819444445</v>
      </c>
      <c r="D11" s="5">
        <f t="shared" ref="D11:D28" si="1">(5-(2*C11)-E10)/4</f>
        <v>1.3661838107638891</v>
      </c>
      <c r="E11" s="5">
        <f t="shared" ref="E11:E20" si="2">(5+C11-(5*D11))/8</f>
        <v>-0.24718899197048627</v>
      </c>
      <c r="F11">
        <f t="shared" ref="F11:F20" si="3">MAX(ABS(C11-C10),ABS(D11-D10),ABS(E11-E10))</f>
        <v>0.11534288194444454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3">
      <c r="B12">
        <v>4</v>
      </c>
      <c r="C12" s="5">
        <f t="shared" si="0"/>
        <v>-0.20445760091145845</v>
      </c>
      <c r="D12" s="5">
        <f t="shared" si="1"/>
        <v>1.4140260484483509</v>
      </c>
      <c r="E12" s="5">
        <f t="shared" si="2"/>
        <v>-0.28432348039415156</v>
      </c>
      <c r="F12">
        <f t="shared" si="3"/>
        <v>5.7864718967013951E-2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x14ac:dyDescent="0.3">
      <c r="B13">
        <v>5</v>
      </c>
      <c r="C13" s="5">
        <f t="shared" si="0"/>
        <v>-0.23278317628083414</v>
      </c>
      <c r="D13" s="5">
        <f t="shared" si="1"/>
        <v>1.4374724582389551</v>
      </c>
      <c r="E13" s="5">
        <f t="shared" si="2"/>
        <v>-0.30251818343445114</v>
      </c>
      <c r="F13">
        <f t="shared" si="3"/>
        <v>2.8325575369375688E-2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x14ac:dyDescent="0.3">
      <c r="B14">
        <v>6</v>
      </c>
      <c r="C14" s="5">
        <f t="shared" si="0"/>
        <v>-0.24666354722446873</v>
      </c>
      <c r="D14" s="5">
        <f t="shared" si="1"/>
        <v>1.4489613194708471</v>
      </c>
      <c r="E14" s="5">
        <f t="shared" si="2"/>
        <v>-0.31143376807233802</v>
      </c>
      <c r="F14">
        <f t="shared" si="3"/>
        <v>1.388037094363459E-2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x14ac:dyDescent="0.3">
      <c r="B15">
        <v>7</v>
      </c>
      <c r="C15" s="5">
        <f t="shared" si="0"/>
        <v>-0.25346502918106167</v>
      </c>
      <c r="D15" s="5">
        <f t="shared" si="1"/>
        <v>1.4545909566086155</v>
      </c>
      <c r="E15" s="5">
        <f t="shared" si="2"/>
        <v>-0.31580247652801741</v>
      </c>
      <c r="F15">
        <f t="shared" si="3"/>
        <v>6.8014819565929419E-3</v>
      </c>
    </row>
    <row r="16" spans="1:21" x14ac:dyDescent="0.3">
      <c r="B16">
        <v>8</v>
      </c>
      <c r="C16" s="5">
        <f t="shared" si="0"/>
        <v>-0.25679781104554428</v>
      </c>
      <c r="D16" s="5">
        <f t="shared" si="1"/>
        <v>1.4573495246547765</v>
      </c>
      <c r="E16" s="5">
        <f t="shared" si="2"/>
        <v>-0.31794317928992832</v>
      </c>
      <c r="F16">
        <f t="shared" si="3"/>
        <v>3.3327818644826035E-3</v>
      </c>
    </row>
    <row r="17" spans="2:6" x14ac:dyDescent="0.3">
      <c r="B17">
        <v>9</v>
      </c>
      <c r="C17" s="5">
        <f t="shared" si="0"/>
        <v>-0.2584309013149016</v>
      </c>
      <c r="D17" s="5">
        <f t="shared" si="1"/>
        <v>1.4587012454799329</v>
      </c>
      <c r="E17" s="5">
        <f t="shared" si="2"/>
        <v>-0.31899214108932072</v>
      </c>
      <c r="F17">
        <f t="shared" si="3"/>
        <v>1.6330902693573179E-3</v>
      </c>
    </row>
    <row r="18" spans="2:6" x14ac:dyDescent="0.3">
      <c r="B18">
        <v>10</v>
      </c>
      <c r="C18" s="5">
        <f t="shared" si="0"/>
        <v>-0.25923112885641786</v>
      </c>
      <c r="D18" s="5">
        <f t="shared" si="1"/>
        <v>1.459363599700539</v>
      </c>
      <c r="E18" s="5">
        <f t="shared" si="2"/>
        <v>-0.31950614091988905</v>
      </c>
      <c r="F18">
        <f t="shared" si="3"/>
        <v>8.0022754151626296E-4</v>
      </c>
    </row>
    <row r="19" spans="2:6" x14ac:dyDescent="0.3">
      <c r="B19">
        <v>11</v>
      </c>
      <c r="C19" s="5">
        <f t="shared" si="0"/>
        <v>-0.25962324687347599</v>
      </c>
      <c r="D19" s="5">
        <f t="shared" si="1"/>
        <v>1.4596881586667101</v>
      </c>
      <c r="E19" s="5">
        <f t="shared" si="2"/>
        <v>-0.31975800502587826</v>
      </c>
      <c r="F19">
        <f t="shared" si="3"/>
        <v>3.9211801705812954E-4</v>
      </c>
    </row>
    <row r="20" spans="2:6" x14ac:dyDescent="0.3">
      <c r="B20">
        <v>12</v>
      </c>
      <c r="C20" s="5">
        <f t="shared" si="0"/>
        <v>-0.25981538789752945</v>
      </c>
      <c r="D20" s="5">
        <f t="shared" si="1"/>
        <v>1.4598471952052343</v>
      </c>
      <c r="E20" s="5">
        <f t="shared" si="2"/>
        <v>-0.31988142049046264</v>
      </c>
      <c r="F20">
        <f t="shared" si="3"/>
        <v>1.9214102405346045E-4</v>
      </c>
    </row>
    <row r="21" spans="2:6" x14ac:dyDescent="0.3">
      <c r="B21">
        <v>13</v>
      </c>
      <c r="C21" s="5">
        <f>(1-D20+E20)/3</f>
        <v>-0.2599095385652323</v>
      </c>
      <c r="D21" s="5">
        <f>(5-(2*C21)-E20)/4</f>
        <v>1.4599251244052318</v>
      </c>
      <c r="E21" s="5">
        <f>(5+C21-(5*D21))/8</f>
        <v>-0.3199418950739239</v>
      </c>
      <c r="F21">
        <f>MAX(ABS(C21-C20),ABS(D21-D20),ABS(E21-E20))</f>
        <v>9.415066770285252E-5</v>
      </c>
    </row>
    <row r="22" spans="2:6" x14ac:dyDescent="0.3">
      <c r="B22">
        <v>14</v>
      </c>
      <c r="C22" s="5">
        <f t="shared" ref="C22:C28" si="4">(1-D21+E21)/3</f>
        <v>-0.25995567315971857</v>
      </c>
      <c r="D22" s="5">
        <f t="shared" si="1"/>
        <v>1.4599633103483405</v>
      </c>
      <c r="E22" s="5">
        <f t="shared" ref="E22:E28" si="5">(5+C22-(5*D22))/8</f>
        <v>-0.31997152811267771</v>
      </c>
      <c r="F22">
        <f t="shared" ref="F22:F28" si="6">MAX(ABS(C22-C21),ABS(D22-D21),ABS(E22-E21))</f>
        <v>4.6134594486268998E-5</v>
      </c>
    </row>
    <row r="23" spans="2:6" x14ac:dyDescent="0.3">
      <c r="B23">
        <v>15</v>
      </c>
      <c r="C23" s="5">
        <f t="shared" si="4"/>
        <v>-0.25997827948700608</v>
      </c>
      <c r="D23" s="5">
        <f t="shared" si="1"/>
        <v>1.4599820217716726</v>
      </c>
      <c r="E23" s="5">
        <f t="shared" si="5"/>
        <v>-0.31998604854317114</v>
      </c>
      <c r="F23">
        <f t="shared" si="6"/>
        <v>2.2606327287510997E-5</v>
      </c>
    </row>
    <row r="24" spans="2:6" x14ac:dyDescent="0.3">
      <c r="B24">
        <v>16</v>
      </c>
      <c r="C24" s="5">
        <f t="shared" si="4"/>
        <v>-0.25998935677161455</v>
      </c>
      <c r="D24" s="5">
        <f t="shared" si="1"/>
        <v>1.4599911905216001</v>
      </c>
      <c r="E24" s="5">
        <f t="shared" si="5"/>
        <v>-0.3199931636724519</v>
      </c>
      <c r="F24">
        <f t="shared" si="6"/>
        <v>1.1077284608473903E-5</v>
      </c>
    </row>
    <row r="25" spans="2:6" x14ac:dyDescent="0.3">
      <c r="B25">
        <v>17</v>
      </c>
      <c r="C25" s="5">
        <f t="shared" si="4"/>
        <v>-0.25999478473135068</v>
      </c>
      <c r="D25" s="5">
        <f t="shared" si="1"/>
        <v>1.4599956832837884</v>
      </c>
      <c r="E25" s="5">
        <f t="shared" si="5"/>
        <v>-0.31999665014378653</v>
      </c>
      <c r="F25">
        <f t="shared" si="6"/>
        <v>5.4279597361261978E-6</v>
      </c>
    </row>
    <row r="26" spans="2:6" x14ac:dyDescent="0.3">
      <c r="B26">
        <v>18</v>
      </c>
      <c r="C26" s="5">
        <f t="shared" si="4"/>
        <v>-0.25999744447585832</v>
      </c>
      <c r="D26" s="5">
        <f t="shared" si="1"/>
        <v>1.4599978847738757</v>
      </c>
      <c r="E26" s="5">
        <f t="shared" si="5"/>
        <v>-0.31999835854315462</v>
      </c>
      <c r="F26">
        <f t="shared" si="6"/>
        <v>2.6597445076381732E-6</v>
      </c>
    </row>
    <row r="27" spans="2:6" x14ac:dyDescent="0.3">
      <c r="B27">
        <v>19</v>
      </c>
      <c r="C27" s="5">
        <f t="shared" si="4"/>
        <v>-0.25999874777234344</v>
      </c>
      <c r="D27" s="5">
        <f t="shared" si="1"/>
        <v>1.4599989635219603</v>
      </c>
      <c r="E27" s="5">
        <f t="shared" si="5"/>
        <v>-0.31999919567276813</v>
      </c>
      <c r="F27">
        <f t="shared" si="6"/>
        <v>1.303296485122285E-6</v>
      </c>
    </row>
    <row r="28" spans="2:6" x14ac:dyDescent="0.3">
      <c r="B28">
        <v>20</v>
      </c>
      <c r="C28" s="5">
        <f t="shared" si="4"/>
        <v>-0.25999938639824283</v>
      </c>
      <c r="D28" s="5">
        <f t="shared" si="1"/>
        <v>1.4599994921173134</v>
      </c>
      <c r="E28" s="5">
        <f t="shared" si="5"/>
        <v>-0.31999960587310128</v>
      </c>
      <c r="F28">
        <f t="shared" si="6"/>
        <v>6.3862589938512571E-7</v>
      </c>
    </row>
  </sheetData>
  <mergeCells count="7">
    <mergeCell ref="A1:F2"/>
    <mergeCell ref="A3:E3"/>
    <mergeCell ref="G3:I3"/>
    <mergeCell ref="A4:E4"/>
    <mergeCell ref="G4:I4"/>
    <mergeCell ref="A5:E5"/>
    <mergeCell ref="G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userlaptop589@gmail.com</dc:creator>
  <cp:lastModifiedBy>userlaptop589@gmail.com</cp:lastModifiedBy>
  <dcterms:created xsi:type="dcterms:W3CDTF">2026-01-22T12:58:53Z</dcterms:created>
  <dcterms:modified xsi:type="dcterms:W3CDTF">2026-01-22T13:11:27Z</dcterms:modified>
</cp:coreProperties>
</file>